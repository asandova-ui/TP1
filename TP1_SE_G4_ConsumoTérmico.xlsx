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11595"/>
  </bookViews>
  <sheets>
    <sheet name="Termico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H21" i="2"/>
  <c r="H6" i="2"/>
  <c r="F21" i="2"/>
  <c r="G20" i="2"/>
  <c r="G6" i="2"/>
  <c r="G16" i="2"/>
  <c r="G5" i="2"/>
  <c r="E45" i="2"/>
  <c r="E37" i="2"/>
  <c r="E36" i="2"/>
  <c r="E35" i="2"/>
  <c r="E34" i="2"/>
  <c r="E32" i="2"/>
  <c r="C25" i="2"/>
  <c r="E22" i="2"/>
  <c r="E15" i="2" l="1"/>
  <c r="E21" i="2"/>
  <c r="E20" i="2"/>
  <c r="H24" i="2"/>
  <c r="D25" i="2" s="1"/>
  <c r="E25" i="2" s="1"/>
  <c r="E16" i="2"/>
  <c r="C13" i="2"/>
  <c r="D13" i="2" s="1"/>
  <c r="E13" i="2" s="1"/>
  <c r="C11" i="2"/>
  <c r="C7" i="2"/>
  <c r="E5" i="2"/>
  <c r="H13" i="2"/>
  <c r="H12" i="2" s="1"/>
  <c r="H10" i="2"/>
  <c r="H7" i="2"/>
  <c r="H8" i="2" s="1"/>
  <c r="G21" i="2" l="1"/>
  <c r="D11" i="2"/>
  <c r="E11" i="2" s="1"/>
  <c r="D7" i="2" l="1"/>
  <c r="E7" i="2" s="1"/>
</calcChain>
</file>

<file path=xl/sharedStrings.xml><?xml version="1.0" encoding="utf-8"?>
<sst xmlns="http://schemas.openxmlformats.org/spreadsheetml/2006/main" count="114" uniqueCount="61">
  <si>
    <t>5V</t>
  </si>
  <si>
    <t>3V3</t>
  </si>
  <si>
    <t>3V7</t>
  </si>
  <si>
    <t>ID</t>
  </si>
  <si>
    <t>Componente</t>
  </si>
  <si>
    <t>Voltaje (V)</t>
  </si>
  <si>
    <t>I consumo (mA)</t>
  </si>
  <si>
    <t>MCP73831/2</t>
  </si>
  <si>
    <t>MCP1725ADJ</t>
  </si>
  <si>
    <t>R15</t>
  </si>
  <si>
    <t>KA-3022SRC-4.5SF-TR</t>
  </si>
  <si>
    <t>U4</t>
  </si>
  <si>
    <t>D2</t>
  </si>
  <si>
    <t>U5</t>
  </si>
  <si>
    <t>D3</t>
  </si>
  <si>
    <t>D4</t>
  </si>
  <si>
    <t>KA-3022SGC-4.5SF</t>
  </si>
  <si>
    <t>1,85VForward</t>
  </si>
  <si>
    <t>R26</t>
  </si>
  <si>
    <t>R25</t>
  </si>
  <si>
    <t>R15 (220OHM)</t>
  </si>
  <si>
    <t>R26(668OHM)</t>
  </si>
  <si>
    <t>CY7C65213-28PVXI</t>
  </si>
  <si>
    <t>U6</t>
  </si>
  <si>
    <t>U7</t>
  </si>
  <si>
    <t>LPC1112FD20/102</t>
  </si>
  <si>
    <t>PCB0</t>
  </si>
  <si>
    <r>
      <rPr>
        <b/>
        <sz val="11"/>
        <color theme="1"/>
        <rFont val="Calibri"/>
        <family val="2"/>
        <scheme val="minor"/>
      </rPr>
      <t>Grupo 4:</t>
    </r>
    <r>
      <rPr>
        <sz val="11"/>
        <color theme="1"/>
        <rFont val="Calibri"/>
        <family val="2"/>
        <scheme val="minor"/>
      </rPr>
      <t xml:space="preserve"> Andrés, Iván, Lucía, Víctor R, Alonso</t>
    </r>
  </si>
  <si>
    <t>PCB1</t>
  </si>
  <si>
    <t>U2</t>
  </si>
  <si>
    <t>IS25LP032D-JNLE</t>
  </si>
  <si>
    <t>U3</t>
  </si>
  <si>
    <t>MCSJK-3N-16-3.3-50-B</t>
  </si>
  <si>
    <t>PCB2</t>
  </si>
  <si>
    <t>MS8607-02BA01</t>
  </si>
  <si>
    <t>U1</t>
  </si>
  <si>
    <t>M1</t>
  </si>
  <si>
    <t>BME680_MODULE</t>
  </si>
  <si>
    <t>MCP3004</t>
  </si>
  <si>
    <t>M3</t>
  </si>
  <si>
    <t>GPS_TEL09132</t>
  </si>
  <si>
    <t>M2</t>
  </si>
  <si>
    <t>GP2Y1010AU0F</t>
  </si>
  <si>
    <t>XC9141B50DMR-G</t>
  </si>
  <si>
    <t>M4</t>
  </si>
  <si>
    <t>SEN0134</t>
  </si>
  <si>
    <t>LAMBDA62-8D</t>
  </si>
  <si>
    <t>PCB3</t>
  </si>
  <si>
    <t>ANÁLISIS TÉRMICO</t>
  </si>
  <si>
    <t>V salida</t>
  </si>
  <si>
    <t>Potencia (mW)</t>
  </si>
  <si>
    <t>Sin calentamiento, toda la energía se transforma en luz</t>
  </si>
  <si>
    <t>1V2</t>
  </si>
  <si>
    <t>I entrada (mA)</t>
  </si>
  <si>
    <t>D2-5</t>
  </si>
  <si>
    <t>R15-18</t>
  </si>
  <si>
    <t>680OHM</t>
  </si>
  <si>
    <t>5VUP</t>
  </si>
  <si>
    <t>Temperatura (ºC)</t>
  </si>
  <si>
    <t>Thermal Junction (ºC/W)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</si>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</sst>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4" xfId="0" applyBorder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topLeftCell="A19" workbookViewId="0">
      <selection activeCell="E36" sqref="E36"/>
    </sheetView>
  </sheetViews>
  <sheetFormatPr baseColWidth="10" defaultColWidth="11.5703125" defaultRowHeight="15" x14ac:dyDescent="0.25"/>
  <cols>
    <col min="1" max="1" width="16" customWidth="1"/>
    <col min="2" max="2" width="19.7109375" bestFit="1" customWidth="1"/>
    <col min="3" max="3" width="10.5703125" bestFit="1" customWidth="1"/>
    <col min="4" max="4" width="13.5703125" bestFit="1" customWidth="1"/>
    <col min="5" max="5" width="15.5703125" bestFit="1" customWidth="1"/>
    <col min="6" max="6" width="22.28515625" bestFit="1" customWidth="1"/>
    <col min="7" max="7" width="15.5703125" customWidth="1"/>
    <col min="8" max="8" width="14.85546875" bestFit="1" customWidth="1"/>
    <col min="9" max="9" width="14.28515625" bestFit="1" customWidth="1"/>
  </cols>
  <sheetData>
    <row r="1" spans="1:9" ht="39" x14ac:dyDescent="0.6">
      <c r="A1" s="17" t="s">
        <v>48</v>
      </c>
      <c r="B1" s="17"/>
      <c r="C1" s="17"/>
      <c r="D1" s="17"/>
      <c r="E1" s="17"/>
      <c r="F1" s="17"/>
      <c r="G1" s="17"/>
      <c r="H1" s="17"/>
    </row>
    <row r="2" spans="1:9" x14ac:dyDescent="0.25">
      <c r="A2" s="16" t="s">
        <v>27</v>
      </c>
      <c r="B2" s="16"/>
      <c r="C2" s="16"/>
      <c r="D2" s="16"/>
      <c r="E2" s="16"/>
      <c r="F2" s="16"/>
      <c r="G2" s="16"/>
      <c r="H2" s="16"/>
    </row>
    <row r="3" spans="1:9" ht="18.75" x14ac:dyDescent="0.3">
      <c r="A3" s="15" t="s">
        <v>26</v>
      </c>
      <c r="B3" s="15"/>
      <c r="C3" s="15"/>
      <c r="D3" s="15"/>
      <c r="E3" s="15"/>
      <c r="F3" s="15"/>
      <c r="G3" s="15"/>
      <c r="H3" s="15"/>
    </row>
    <row r="4" spans="1:9" x14ac:dyDescent="0.25">
      <c r="A4" s="7" t="s">
        <v>3</v>
      </c>
      <c r="B4" s="8" t="s">
        <v>4</v>
      </c>
      <c r="C4" s="8" t="s">
        <v>5</v>
      </c>
      <c r="D4" s="8" t="s">
        <v>49</v>
      </c>
      <c r="E4" s="8" t="s">
        <v>50</v>
      </c>
      <c r="F4" s="8" t="s">
        <v>59</v>
      </c>
      <c r="G4" s="8" t="s">
        <v>58</v>
      </c>
      <c r="H4" s="9" t="s">
        <v>53</v>
      </c>
    </row>
    <row r="5" spans="1:9" x14ac:dyDescent="0.25">
      <c r="A5" s="2" t="s">
        <v>11</v>
      </c>
      <c r="B5" s="1" t="s">
        <v>7</v>
      </c>
      <c r="C5" s="1">
        <v>5</v>
      </c>
      <c r="D5" s="1" t="s">
        <v>2</v>
      </c>
      <c r="E5" s="1">
        <f>(5-3.7)*1.5</f>
        <v>1.9499999999999997</v>
      </c>
      <c r="F5" s="1">
        <v>230</v>
      </c>
      <c r="G5" s="1">
        <f>F5*E5/1000</f>
        <v>0.44849999999999995</v>
      </c>
      <c r="H5" s="3">
        <v>1.5</v>
      </c>
    </row>
    <row r="6" spans="1:9" s="14" customFormat="1" x14ac:dyDescent="0.25">
      <c r="A6" s="11" t="s">
        <v>13</v>
      </c>
      <c r="B6" s="12" t="s">
        <v>8</v>
      </c>
      <c r="C6" s="12">
        <v>5</v>
      </c>
      <c r="D6" s="12" t="s">
        <v>1</v>
      </c>
      <c r="E6" s="12">
        <f>(5-3.3)*H6</f>
        <v>850.37400000000014</v>
      </c>
      <c r="F6" s="12">
        <v>163</v>
      </c>
      <c r="G6" s="12">
        <f t="shared" ref="G6:G16" si="0">F6*E6/1000</f>
        <v>138.61096200000003</v>
      </c>
      <c r="H6" s="13">
        <f>0.22+500</f>
        <v>500.22</v>
      </c>
    </row>
    <row r="7" spans="1:9" x14ac:dyDescent="0.25">
      <c r="A7" s="2" t="s">
        <v>9</v>
      </c>
      <c r="B7" s="1" t="s">
        <v>20</v>
      </c>
      <c r="C7" s="1">
        <f>5-1.95</f>
        <v>3.05</v>
      </c>
      <c r="D7" s="1" t="e">
        <f>C7-220/1000*#REF!</f>
        <v>#REF!</v>
      </c>
      <c r="E7" s="1" t="e">
        <f>(C7-D7)*#REF!</f>
        <v>#REF!</v>
      </c>
      <c r="F7" s="1"/>
      <c r="G7" s="1"/>
      <c r="H7" s="3">
        <f>(C8-1.95)/220*1000</f>
        <v>13.863636363636363</v>
      </c>
    </row>
    <row r="8" spans="1:9" x14ac:dyDescent="0.25">
      <c r="A8" s="2" t="s">
        <v>12</v>
      </c>
      <c r="B8" s="1" t="s">
        <v>10</v>
      </c>
      <c r="C8" s="1">
        <v>5</v>
      </c>
      <c r="D8" s="1"/>
      <c r="E8" s="1"/>
      <c r="F8" s="1"/>
      <c r="G8" s="1"/>
      <c r="H8" s="3">
        <f>H7</f>
        <v>13.863636363636363</v>
      </c>
      <c r="I8" t="s">
        <v>51</v>
      </c>
    </row>
    <row r="9" spans="1:9" x14ac:dyDescent="0.25">
      <c r="A9" s="2"/>
      <c r="B9" s="1"/>
      <c r="C9" s="1"/>
      <c r="D9" s="1"/>
      <c r="E9" s="1"/>
      <c r="F9" s="1"/>
      <c r="G9" s="1"/>
      <c r="H9" s="3"/>
    </row>
    <row r="10" spans="1:9" x14ac:dyDescent="0.25">
      <c r="A10" s="2" t="s">
        <v>14</v>
      </c>
      <c r="B10" s="1" t="s">
        <v>10</v>
      </c>
      <c r="C10" s="1" t="s">
        <v>1</v>
      </c>
      <c r="D10" s="1"/>
      <c r="E10" s="1"/>
      <c r="F10" s="1"/>
      <c r="G10" s="1"/>
      <c r="H10" s="3">
        <f>(3.3-1.95)/668*1000</f>
        <v>2.0209580838323351</v>
      </c>
      <c r="I10" t="s">
        <v>51</v>
      </c>
    </row>
    <row r="11" spans="1:9" x14ac:dyDescent="0.25">
      <c r="A11" s="2" t="s">
        <v>19</v>
      </c>
      <c r="B11" s="1"/>
      <c r="C11" s="1">
        <f>3.3-1.95</f>
        <v>1.3499999999999999</v>
      </c>
      <c r="D11" s="1" t="e">
        <f>(C11)-#REF!*0.668</f>
        <v>#REF!</v>
      </c>
      <c r="E11" s="1" t="e">
        <f>(C11-D11)*H10</f>
        <v>#REF!</v>
      </c>
      <c r="F11" s="1"/>
      <c r="G11" s="1"/>
      <c r="H11" s="3"/>
    </row>
    <row r="12" spans="1:9" x14ac:dyDescent="0.25">
      <c r="A12" s="2" t="s">
        <v>15</v>
      </c>
      <c r="B12" s="1" t="s">
        <v>16</v>
      </c>
      <c r="C12" s="1" t="s">
        <v>1</v>
      </c>
      <c r="D12" s="1"/>
      <c r="E12" s="1"/>
      <c r="F12" s="1"/>
      <c r="G12" s="1"/>
      <c r="H12" s="3">
        <f>H13</f>
        <v>2.1706586826347301</v>
      </c>
      <c r="I12" t="s">
        <v>51</v>
      </c>
    </row>
    <row r="13" spans="1:9" x14ac:dyDescent="0.25">
      <c r="A13" s="2" t="s">
        <v>18</v>
      </c>
      <c r="B13" s="1" t="s">
        <v>21</v>
      </c>
      <c r="C13" s="1">
        <f>3.3-1.85</f>
        <v>1.4499999999999997</v>
      </c>
      <c r="D13" s="1">
        <f>C13-0.668*H12</f>
        <v>0</v>
      </c>
      <c r="E13" s="1">
        <f>(C13-D13)*H13</f>
        <v>3.1474550898203582</v>
      </c>
      <c r="F13" s="1"/>
      <c r="G13" s="1"/>
      <c r="H13" s="3">
        <f>(3.3-1.85)/668*1000</f>
        <v>2.1706586826347301</v>
      </c>
    </row>
    <row r="14" spans="1:9" x14ac:dyDescent="0.25">
      <c r="A14" s="2"/>
      <c r="B14" s="1"/>
      <c r="C14" s="1"/>
      <c r="D14" s="1"/>
      <c r="E14" s="1"/>
      <c r="F14" s="1"/>
      <c r="G14" s="1"/>
      <c r="H14" s="3"/>
    </row>
    <row r="15" spans="1:9" x14ac:dyDescent="0.25">
      <c r="A15" s="2" t="s">
        <v>23</v>
      </c>
      <c r="B15" s="1" t="s">
        <v>22</v>
      </c>
      <c r="C15" s="1" t="s">
        <v>0</v>
      </c>
      <c r="D15" s="1">
        <v>0</v>
      </c>
      <c r="E15" s="1">
        <f>5*H15</f>
        <v>90</v>
      </c>
      <c r="F15" s="1" t="s">
        <v>60</v>
      </c>
      <c r="G15" s="1"/>
      <c r="H15" s="3">
        <v>18</v>
      </c>
    </row>
    <row r="16" spans="1:9" x14ac:dyDescent="0.25">
      <c r="A16" s="4" t="s">
        <v>24</v>
      </c>
      <c r="B16" s="5" t="s">
        <v>25</v>
      </c>
      <c r="C16" s="5" t="s">
        <v>1</v>
      </c>
      <c r="D16" s="5">
        <v>0</v>
      </c>
      <c r="E16" s="5">
        <f>3.3*H16</f>
        <v>23.099999999999998</v>
      </c>
      <c r="F16" s="10">
        <v>116.3</v>
      </c>
      <c r="G16" s="5">
        <f t="shared" si="0"/>
        <v>2.6865299999999999</v>
      </c>
      <c r="H16" s="6">
        <v>7</v>
      </c>
    </row>
    <row r="18" spans="1:9" ht="18.75" x14ac:dyDescent="0.3">
      <c r="A18" s="15" t="s">
        <v>28</v>
      </c>
      <c r="B18" s="15"/>
      <c r="C18" s="15"/>
      <c r="D18" s="15"/>
      <c r="E18" s="15"/>
      <c r="F18" s="15"/>
      <c r="G18" s="15"/>
      <c r="H18" s="15"/>
    </row>
    <row r="19" spans="1:9" x14ac:dyDescent="0.25">
      <c r="A19" s="7" t="s">
        <v>3</v>
      </c>
      <c r="B19" s="8" t="s">
        <v>4</v>
      </c>
      <c r="C19" s="8" t="s">
        <v>5</v>
      </c>
      <c r="D19" s="8" t="s">
        <v>49</v>
      </c>
      <c r="E19" s="8" t="s">
        <v>50</v>
      </c>
      <c r="F19" s="8" t="s">
        <v>59</v>
      </c>
      <c r="G19" s="8" t="s">
        <v>58</v>
      </c>
      <c r="H19" s="9" t="s">
        <v>6</v>
      </c>
    </row>
    <row r="20" spans="1:9" x14ac:dyDescent="0.25">
      <c r="A20" s="2" t="s">
        <v>29</v>
      </c>
      <c r="B20" s="1" t="s">
        <v>30</v>
      </c>
      <c r="C20" s="1" t="s">
        <v>1</v>
      </c>
      <c r="D20" s="1">
        <v>0</v>
      </c>
      <c r="E20" s="1">
        <f>3.3*H20</f>
        <v>82.5</v>
      </c>
      <c r="F20" s="1">
        <v>8</v>
      </c>
      <c r="G20" s="1">
        <f>F20*E20/1000</f>
        <v>0.66</v>
      </c>
      <c r="H20" s="3">
        <v>25</v>
      </c>
    </row>
    <row r="21" spans="1:9" s="14" customFormat="1" x14ac:dyDescent="0.25">
      <c r="A21" s="11" t="s">
        <v>31</v>
      </c>
      <c r="B21" s="12" t="s">
        <v>8</v>
      </c>
      <c r="C21" s="12" t="s">
        <v>1</v>
      </c>
      <c r="D21" s="12" t="s">
        <v>52</v>
      </c>
      <c r="E21" s="12">
        <f>(3.3-1.2)*H21</f>
        <v>1050.462</v>
      </c>
      <c r="F21" s="12">
        <f>F6</f>
        <v>163</v>
      </c>
      <c r="G21" s="12">
        <f>F21*E21/1000</f>
        <v>171.22530600000002</v>
      </c>
      <c r="H21" s="13">
        <f>0.22+500</f>
        <v>500.22</v>
      </c>
    </row>
    <row r="22" spans="1:9" x14ac:dyDescent="0.25">
      <c r="A22" s="2" t="s">
        <v>13</v>
      </c>
      <c r="B22" s="1" t="s">
        <v>32</v>
      </c>
      <c r="C22" s="1" t="s">
        <v>1</v>
      </c>
      <c r="D22" s="1">
        <v>0</v>
      </c>
      <c r="E22" s="1">
        <f>3.3*H22</f>
        <v>49.5</v>
      </c>
      <c r="F22" s="1" t="s">
        <v>60</v>
      </c>
      <c r="G22" s="1"/>
      <c r="H22" s="3">
        <v>15</v>
      </c>
    </row>
    <row r="23" spans="1:9" x14ac:dyDescent="0.25">
      <c r="A23" s="2"/>
      <c r="B23" s="1"/>
      <c r="C23" s="1"/>
      <c r="D23" s="1"/>
      <c r="E23" s="1"/>
      <c r="F23" s="1"/>
      <c r="G23" s="1"/>
      <c r="H23" s="3"/>
    </row>
    <row r="24" spans="1:9" x14ac:dyDescent="0.25">
      <c r="A24" s="2" t="s">
        <v>54</v>
      </c>
      <c r="B24" s="1" t="s">
        <v>16</v>
      </c>
      <c r="C24" s="1" t="s">
        <v>1</v>
      </c>
      <c r="D24" s="1" t="s">
        <v>17</v>
      </c>
      <c r="E24" s="1"/>
      <c r="F24" s="1"/>
      <c r="G24" s="1"/>
      <c r="H24" s="3">
        <f>(3.3-1.85)/680*1000</f>
        <v>2.1323529411764701</v>
      </c>
      <c r="I24" t="s">
        <v>51</v>
      </c>
    </row>
    <row r="25" spans="1:9" x14ac:dyDescent="0.25">
      <c r="A25" s="2" t="s">
        <v>55</v>
      </c>
      <c r="B25" s="1" t="s">
        <v>56</v>
      </c>
      <c r="C25" s="1">
        <f>3.3-1.85</f>
        <v>1.4499999999999997</v>
      </c>
      <c r="D25" s="1">
        <f>C25-H24*0.68</f>
        <v>0</v>
      </c>
      <c r="E25" s="1">
        <f>(C25-D25)*H24</f>
        <v>3.0919117647058809</v>
      </c>
      <c r="F25" s="1"/>
      <c r="G25" s="1"/>
      <c r="H25" s="3"/>
    </row>
    <row r="26" spans="1:9" x14ac:dyDescent="0.25">
      <c r="A26" s="2"/>
      <c r="B26" s="1"/>
      <c r="C26" s="1"/>
      <c r="D26" s="1"/>
      <c r="E26" s="1"/>
      <c r="F26" s="1"/>
      <c r="G26" s="1"/>
      <c r="H26" s="3"/>
    </row>
    <row r="27" spans="1:9" x14ac:dyDescent="0.25">
      <c r="A27" s="2"/>
      <c r="B27" s="1"/>
      <c r="C27" s="1"/>
      <c r="D27" s="1"/>
      <c r="E27" s="1"/>
      <c r="F27" s="1"/>
      <c r="G27" s="1"/>
      <c r="H27" s="3"/>
    </row>
    <row r="28" spans="1:9" x14ac:dyDescent="0.25">
      <c r="A28" s="4"/>
      <c r="B28" s="5"/>
      <c r="C28" s="5"/>
      <c r="D28" s="5"/>
      <c r="E28" s="5"/>
      <c r="F28" s="5"/>
      <c r="G28" s="5"/>
      <c r="H28" s="6"/>
    </row>
    <row r="30" spans="1:9" ht="18.75" x14ac:dyDescent="0.3">
      <c r="A30" s="15" t="s">
        <v>33</v>
      </c>
      <c r="B30" s="15"/>
      <c r="C30" s="15"/>
      <c r="D30" s="15"/>
      <c r="E30" s="15"/>
      <c r="F30" s="15"/>
      <c r="G30" s="15"/>
      <c r="H30" s="15"/>
    </row>
    <row r="31" spans="1:9" x14ac:dyDescent="0.25">
      <c r="A31" s="7" t="s">
        <v>3</v>
      </c>
      <c r="B31" s="8" t="s">
        <v>4</v>
      </c>
      <c r="C31" s="8" t="s">
        <v>5</v>
      </c>
      <c r="D31" s="8" t="s">
        <v>49</v>
      </c>
      <c r="E31" s="8" t="s">
        <v>50</v>
      </c>
      <c r="F31" s="8" t="s">
        <v>59</v>
      </c>
      <c r="G31" s="8" t="s">
        <v>58</v>
      </c>
      <c r="H31" s="9" t="s">
        <v>6</v>
      </c>
    </row>
    <row r="32" spans="1:9" x14ac:dyDescent="0.25">
      <c r="A32" s="2" t="s">
        <v>35</v>
      </c>
      <c r="B32" s="1" t="s">
        <v>34</v>
      </c>
      <c r="C32" s="1" t="s">
        <v>1</v>
      </c>
      <c r="D32" s="1">
        <v>0</v>
      </c>
      <c r="E32" s="1">
        <f>3.3*H32</f>
        <v>4.125</v>
      </c>
      <c r="F32" s="1" t="s">
        <v>60</v>
      </c>
      <c r="G32" s="1"/>
      <c r="H32" s="3">
        <v>1.25</v>
      </c>
    </row>
    <row r="33" spans="1:8" x14ac:dyDescent="0.25">
      <c r="A33" s="2" t="s">
        <v>36</v>
      </c>
      <c r="B33" s="1" t="s">
        <v>37</v>
      </c>
      <c r="C33" s="1" t="s">
        <v>1</v>
      </c>
      <c r="D33" s="1">
        <v>0</v>
      </c>
      <c r="E33" s="1"/>
      <c r="F33" s="1" t="s">
        <v>60</v>
      </c>
      <c r="G33" s="1"/>
      <c r="H33" s="3">
        <v>0.84899999999999998</v>
      </c>
    </row>
    <row r="34" spans="1:8" x14ac:dyDescent="0.25">
      <c r="A34" s="2" t="s">
        <v>29</v>
      </c>
      <c r="B34" s="1" t="s">
        <v>38</v>
      </c>
      <c r="C34" s="1" t="s">
        <v>1</v>
      </c>
      <c r="D34" s="1">
        <v>0</v>
      </c>
      <c r="E34" s="1">
        <f>3.3*H34</f>
        <v>0.49499999999999994</v>
      </c>
      <c r="F34" s="1">
        <v>108</v>
      </c>
      <c r="G34" s="1"/>
      <c r="H34" s="3">
        <v>0.15</v>
      </c>
    </row>
    <row r="35" spans="1:8" x14ac:dyDescent="0.25">
      <c r="A35" s="2" t="s">
        <v>39</v>
      </c>
      <c r="B35" s="1" t="s">
        <v>40</v>
      </c>
      <c r="C35" s="1" t="s">
        <v>1</v>
      </c>
      <c r="D35" s="1">
        <v>0</v>
      </c>
      <c r="E35" s="1">
        <f>3.3*H35</f>
        <v>330</v>
      </c>
      <c r="F35" s="1" t="s">
        <v>60</v>
      </c>
      <c r="G35" s="1"/>
      <c r="H35" s="3">
        <v>100</v>
      </c>
    </row>
    <row r="36" spans="1:8" x14ac:dyDescent="0.25">
      <c r="A36" s="2" t="s">
        <v>41</v>
      </c>
      <c r="B36" s="1" t="s">
        <v>42</v>
      </c>
      <c r="C36" s="1" t="s">
        <v>57</v>
      </c>
      <c r="D36" s="1">
        <v>0</v>
      </c>
      <c r="E36" s="1">
        <f>5*H36</f>
        <v>100</v>
      </c>
      <c r="F36" s="1" t="s">
        <v>60</v>
      </c>
      <c r="G36" s="1"/>
      <c r="H36" s="3">
        <v>20</v>
      </c>
    </row>
    <row r="37" spans="1:8" x14ac:dyDescent="0.25">
      <c r="A37" s="2" t="s">
        <v>31</v>
      </c>
      <c r="B37" s="1" t="s">
        <v>43</v>
      </c>
      <c r="C37" s="1" t="s">
        <v>0</v>
      </c>
      <c r="D37" s="1">
        <v>0</v>
      </c>
      <c r="E37" s="1">
        <f>5*H37</f>
        <v>0.2</v>
      </c>
      <c r="F37" s="1" t="s">
        <v>60</v>
      </c>
      <c r="G37" s="1"/>
      <c r="H37" s="3">
        <v>0.04</v>
      </c>
    </row>
    <row r="38" spans="1:8" x14ac:dyDescent="0.25">
      <c r="A38" s="2" t="s">
        <v>44</v>
      </c>
      <c r="B38" s="1" t="s">
        <v>45</v>
      </c>
      <c r="C38" s="1" t="s">
        <v>0</v>
      </c>
      <c r="D38" s="1">
        <v>0</v>
      </c>
      <c r="E38" s="1"/>
      <c r="F38" s="1" t="s">
        <v>60</v>
      </c>
      <c r="G38" s="1"/>
      <c r="H38" s="3"/>
    </row>
    <row r="39" spans="1:8" x14ac:dyDescent="0.25">
      <c r="A39" s="2"/>
      <c r="B39" s="1"/>
      <c r="C39" s="1"/>
      <c r="D39" s="1"/>
      <c r="E39" s="1"/>
      <c r="F39" s="1"/>
      <c r="G39" s="1"/>
      <c r="H39" s="3"/>
    </row>
    <row r="40" spans="1:8" x14ac:dyDescent="0.25">
      <c r="A40" s="4"/>
      <c r="B40" s="5"/>
      <c r="C40" s="5"/>
      <c r="D40" s="5"/>
      <c r="E40" s="5"/>
      <c r="F40" s="5"/>
      <c r="G40" s="5"/>
      <c r="H40" s="6"/>
    </row>
    <row r="43" spans="1:8" ht="18.75" x14ac:dyDescent="0.3">
      <c r="A43" s="15" t="s">
        <v>47</v>
      </c>
      <c r="B43" s="15"/>
      <c r="C43" s="15"/>
      <c r="D43" s="15"/>
      <c r="E43" s="15"/>
      <c r="F43" s="15"/>
      <c r="G43" s="15"/>
      <c r="H43" s="15"/>
    </row>
    <row r="44" spans="1:8" x14ac:dyDescent="0.25">
      <c r="A44" s="7" t="s">
        <v>3</v>
      </c>
      <c r="B44" s="8" t="s">
        <v>4</v>
      </c>
      <c r="C44" s="8" t="s">
        <v>5</v>
      </c>
      <c r="D44" s="8" t="s">
        <v>49</v>
      </c>
      <c r="E44" s="8" t="s">
        <v>50</v>
      </c>
      <c r="F44" s="8"/>
      <c r="G44" s="8"/>
      <c r="H44" s="9" t="s">
        <v>6</v>
      </c>
    </row>
    <row r="45" spans="1:8" x14ac:dyDescent="0.25">
      <c r="A45" s="2" t="s">
        <v>39</v>
      </c>
      <c r="B45" s="1" t="s">
        <v>46</v>
      </c>
      <c r="C45" s="1" t="s">
        <v>1</v>
      </c>
      <c r="D45" s="1">
        <v>0</v>
      </c>
      <c r="E45" s="1">
        <f>3.3*H45</f>
        <v>389.4</v>
      </c>
      <c r="F45" s="1" t="s">
        <v>60</v>
      </c>
      <c r="G45" s="1"/>
      <c r="H45" s="3">
        <v>118</v>
      </c>
    </row>
    <row r="46" spans="1:8" x14ac:dyDescent="0.25">
      <c r="A46" s="2"/>
      <c r="B46" s="1"/>
      <c r="C46" s="1"/>
      <c r="D46" s="1"/>
      <c r="E46" s="1"/>
      <c r="F46" s="1"/>
      <c r="G46" s="1"/>
      <c r="H46" s="3"/>
    </row>
    <row r="47" spans="1:8" x14ac:dyDescent="0.25">
      <c r="A47" s="4"/>
      <c r="B47" s="5"/>
      <c r="C47" s="5"/>
      <c r="D47" s="5"/>
      <c r="E47" s="5"/>
      <c r="F47" s="5"/>
      <c r="G47" s="5"/>
      <c r="H47" s="6"/>
    </row>
  </sheetData>
  <mergeCells count="6">
    <mergeCell ref="A43:H43"/>
    <mergeCell ref="A1:H1"/>
    <mergeCell ref="A2:H2"/>
    <mergeCell ref="A3:H3"/>
    <mergeCell ref="A30:H30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Termico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2025-11-21T09:49:29Z</dcterms:modified>
</cp:coreProperties>
</file>